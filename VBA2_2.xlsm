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sumasa\Documents\"/>
    </mc:Choice>
  </mc:AlternateContent>
  <xr:revisionPtr revIDLastSave="0" documentId="8_{856D74CF-5592-49B0-9F26-8DEF0136FF47}" xr6:coauthVersionLast="45" xr6:coauthVersionMax="45" xr10:uidLastSave="{00000000-0000-0000-0000-000000000000}"/>
  <bookViews>
    <workbookView xWindow="-120" yWindow="-120" windowWidth="38640" windowHeight="20670" xr2:uid="{06AAF128-80AD-49DC-9BAC-C2DFEE75AC6D}"/>
  </bookViews>
  <sheets>
    <sheet name="銘柄コード" sheetId="1" r:id="rId1"/>
    <sheet name="騰落率" sheetId="5" r:id="rId2"/>
    <sheet name="銘柄名" sheetId="4" r:id="rId3"/>
  </sheets>
  <functionGroups builtInGroupCount="19"/>
  <definedNames>
    <definedName name="騰落率">騰落率!$A$2:$B$13</definedName>
    <definedName name="銘柄名">銘柄名!$A$2:$B$13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  <c r="B8" i="1"/>
  <c r="C7" i="1"/>
  <c r="B7" i="1"/>
  <c r="C6" i="1"/>
  <c r="B6" i="1"/>
  <c r="B5" i="1" a="1"/>
  <c r="B4" i="1" a="1"/>
  <c r="C4" i="1" a="1"/>
  <c r="C5" i="1" a="1"/>
  <c r="B5" i="1" l="1"/>
  <c r="B4" i="1"/>
  <c r="C4" i="1"/>
  <c r="C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<sst xmlns="http://schemas.openxmlformats.org/spreadsheetml/2006/main" count="20" uniqueCount="16">
  <si>
    <t>code</t>
  </si>
  <si>
    <t>パナソニック</t>
  </si>
  <si>
    <t>京セラ</t>
  </si>
  <si>
    <t>キヤノン</t>
  </si>
  <si>
    <t>富士通</t>
  </si>
  <si>
    <t>三菱電</t>
  </si>
  <si>
    <t>日立</t>
  </si>
  <si>
    <t>ファナック</t>
  </si>
  <si>
    <t>東エレク</t>
  </si>
  <si>
    <t>村田製</t>
  </si>
  <si>
    <t>日本電産</t>
  </si>
  <si>
    <t>ソニー</t>
  </si>
  <si>
    <t>キーエンス</t>
  </si>
  <si>
    <t>リタン</t>
    <phoneticPr fontId="1"/>
  </si>
  <si>
    <t>銘柄名</t>
    <rPh sb="0" eb="2">
      <t>メイガラ</t>
    </rPh>
    <rPh sb="2" eb="3">
      <t>メイ</t>
    </rPh>
    <phoneticPr fontId="1"/>
  </si>
  <si>
    <t>銘柄リスト</t>
    <rPh sb="0" eb="2">
      <t>メイガラ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</si>
</sst>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95" formatCode="0.00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95" fontId="0" fillId="0" borderId="0" xfId="0" applyNumberFormat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4F27D-68F3-4B9D-B5D2-217536054837}">
  <sheetPr codeName="Sheet1"/>
  <dimension ref="A1:C15"/>
  <sheetViews>
    <sheetView tabSelected="1" zoomScale="175" zoomScaleNormal="175" workbookViewId="0">
      <selection activeCell="B4" sqref="B4"/>
    </sheetView>
  </sheetViews>
  <sheetFormatPr defaultRowHeight="17.649999999999999" x14ac:dyDescent="0.7"/>
  <cols>
    <col min="1" max="1" width="9" customWidth="1"/>
    <col min="2" max="2" width="12.6875" customWidth="1"/>
    <col min="3" max="3" width="6.625" customWidth="1"/>
    <col min="5" max="5" width="9" customWidth="1"/>
    <col min="6" max="6" width="13.5625" customWidth="1"/>
    <col min="9" max="9" width="6.875" customWidth="1"/>
  </cols>
  <sheetData>
    <row r="1" spans="1:3" x14ac:dyDescent="0.7">
      <c r="A1" s="2" t="s">
        <v>15</v>
      </c>
      <c r="B1" s="2"/>
      <c r="C1" s="2"/>
    </row>
    <row r="2" spans="1:3" x14ac:dyDescent="0.7">
      <c r="A2" s="2"/>
      <c r="B2" s="2"/>
      <c r="C2" s="2"/>
    </row>
    <row r="3" spans="1:3" x14ac:dyDescent="0.7">
      <c r="A3" s="3" t="s">
        <v>0</v>
      </c>
      <c r="B3" s="4" t="s">
        <v>14</v>
      </c>
      <c r="C3" s="3" t="s">
        <v>13</v>
      </c>
    </row>
    <row r="4" spans="1:3" x14ac:dyDescent="0.7">
      <c r="A4">
        <v>6861</v>
      </c>
      <c r="B4" t="str" cm="1">
        <f t="array" ref="B4">getName(A4)</f>
        <v>キーエンス</v>
      </c>
      <c r="C4" s="1" cm="1">
        <f t="array" ref="C4">getReturn(A4)</f>
        <v>-2.0189784467220306E-2</v>
      </c>
    </row>
    <row r="5" spans="1:3" x14ac:dyDescent="0.7">
      <c r="A5">
        <v>8035</v>
      </c>
      <c r="B5" t="str" cm="1">
        <f t="array" ref="B5">getName(A5)</f>
        <v>東エレク</v>
      </c>
      <c r="C5" s="1" cm="1">
        <f t="array" ref="C5">getReturn(A5)</f>
        <v>0</v>
      </c>
    </row>
    <row r="6" spans="1:3" x14ac:dyDescent="0.7">
      <c r="A6">
        <v>6758</v>
      </c>
      <c r="B6" t="str">
        <f>VLOOKUP(A6,銘柄名!$A$2:$B$13,2,)</f>
        <v>ソニー</v>
      </c>
      <c r="C6" s="1">
        <f>VLOOKUP(A6,騰落率!$A$2:$B$13,2,FALSE)</f>
        <v>0.38304391503334045</v>
      </c>
    </row>
    <row r="7" spans="1:3" x14ac:dyDescent="0.7">
      <c r="A7">
        <v>6752</v>
      </c>
      <c r="B7" t="str">
        <f>VLOOKUP(A7,銘柄名!$A$2:$B$13,2,)</f>
        <v>パナソニック</v>
      </c>
      <c r="C7" s="1">
        <f>VLOOKUP(A7,騰落率!$A$2:$B$13,2,FALSE)</f>
        <v>-1.9844315052032471</v>
      </c>
    </row>
    <row r="8" spans="1:3" x14ac:dyDescent="0.7">
      <c r="A8">
        <v>6954</v>
      </c>
      <c r="B8" t="str">
        <f>VLOOKUP(A8,銘柄名!$A$2:$B$13,2,)</f>
        <v>ファナック</v>
      </c>
      <c r="C8" s="1">
        <f>VLOOKUP(A8,騰落率!$A$2:$B$13,2,FALSE)</f>
        <v>-1.0648596286773682</v>
      </c>
    </row>
    <row r="9" spans="1:3" x14ac:dyDescent="0.7">
      <c r="C9" s="1"/>
    </row>
    <row r="10" spans="1:3" x14ac:dyDescent="0.7">
      <c r="C10" s="1"/>
    </row>
    <row r="11" spans="1:3" x14ac:dyDescent="0.7">
      <c r="C11" s="1"/>
    </row>
    <row r="12" spans="1:3" x14ac:dyDescent="0.7">
      <c r="C12" s="1"/>
    </row>
    <row r="13" spans="1:3" x14ac:dyDescent="0.7">
      <c r="C13" s="1"/>
    </row>
    <row r="14" spans="1:3" x14ac:dyDescent="0.7">
      <c r="C14" s="1"/>
    </row>
    <row r="15" spans="1:3" x14ac:dyDescent="0.7">
      <c r="C15" s="1"/>
    </row>
  </sheetData>
  <sortState xmlns:xlrd2="http://schemas.microsoft.com/office/spreadsheetml/2017/richdata2" ref="A4:C15">
    <sortCondition ref="B4:B15"/>
  </sortState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DBE68-35D9-42EC-8270-81F20C440AE2}">
  <sheetPr codeName="Sheet3"/>
  <dimension ref="A1:B13"/>
  <sheetViews>
    <sheetView workbookViewId="0">
      <selection activeCell="A2" sqref="A2:B13"/>
    </sheetView>
  </sheetViews>
  <sheetFormatPr defaultRowHeight="17.649999999999999" x14ac:dyDescent="0.7"/>
  <sheetData>
    <row r="1" spans="1:2" x14ac:dyDescent="0.7">
      <c r="A1" s="3" t="s">
        <v>0</v>
      </c>
      <c r="B1" s="3" t="s">
        <v>13</v>
      </c>
    </row>
    <row r="2" spans="1:2" x14ac:dyDescent="0.7">
      <c r="A2">
        <v>6758</v>
      </c>
      <c r="B2" s="1">
        <v>0.38304391503334045</v>
      </c>
    </row>
    <row r="3" spans="1:2" x14ac:dyDescent="0.7">
      <c r="A3">
        <v>6861</v>
      </c>
      <c r="B3" s="1">
        <v>-2.0189784467220306E-2</v>
      </c>
    </row>
    <row r="4" spans="1:2" x14ac:dyDescent="0.7">
      <c r="A4">
        <v>6971</v>
      </c>
      <c r="B4" s="1">
        <v>-0.19834710657596588</v>
      </c>
    </row>
    <row r="5" spans="1:2" x14ac:dyDescent="0.7">
      <c r="A5">
        <v>6702</v>
      </c>
      <c r="B5" s="1">
        <v>-0.24621878564357758</v>
      </c>
    </row>
    <row r="6" spans="1:2" x14ac:dyDescent="0.7">
      <c r="A6">
        <v>6594</v>
      </c>
      <c r="B6" s="1">
        <v>-0.29469546675682068</v>
      </c>
    </row>
    <row r="7" spans="1:2" x14ac:dyDescent="0.7">
      <c r="A7">
        <v>8035</v>
      </c>
      <c r="B7" s="1">
        <v>-0.52484256029129028</v>
      </c>
    </row>
    <row r="8" spans="1:2" x14ac:dyDescent="0.7">
      <c r="A8">
        <v>6501</v>
      </c>
      <c r="B8" s="1">
        <v>-0.73429423570632935</v>
      </c>
    </row>
    <row r="9" spans="1:2" x14ac:dyDescent="0.7">
      <c r="A9">
        <v>6981</v>
      </c>
      <c r="B9" s="1">
        <v>-0.76578527688980103</v>
      </c>
    </row>
    <row r="10" spans="1:2" x14ac:dyDescent="0.7">
      <c r="A10">
        <v>6503</v>
      </c>
      <c r="B10" s="1">
        <v>-0.93490302562713623</v>
      </c>
    </row>
    <row r="11" spans="1:2" x14ac:dyDescent="0.7">
      <c r="A11">
        <v>6954</v>
      </c>
      <c r="B11" s="1">
        <v>-1.0648596286773682</v>
      </c>
    </row>
    <row r="12" spans="1:2" x14ac:dyDescent="0.7">
      <c r="A12">
        <v>7751</v>
      </c>
      <c r="B12" s="1">
        <v>-1.9641824960708618</v>
      </c>
    </row>
    <row r="13" spans="1:2" x14ac:dyDescent="0.7">
      <c r="A13">
        <v>6752</v>
      </c>
      <c r="B13" s="1">
        <v>-1.9844315052032471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95355-A744-4BFA-ACC1-DFCCC9880C97}">
  <sheetPr codeName="Sheet2"/>
  <dimension ref="A1:B13"/>
  <sheetViews>
    <sheetView workbookViewId="0">
      <selection activeCell="A2" sqref="A2:B13"/>
    </sheetView>
  </sheetViews>
  <sheetFormatPr defaultRowHeight="17.649999999999999" x14ac:dyDescent="0.7"/>
  <sheetData>
    <row r="1" spans="1:2" x14ac:dyDescent="0.7">
      <c r="A1" s="3" t="s">
        <v>0</v>
      </c>
      <c r="B1" s="3" t="s">
        <v>14</v>
      </c>
    </row>
    <row r="2" spans="1:2" x14ac:dyDescent="0.7">
      <c r="A2">
        <v>6861</v>
      </c>
      <c r="B2" t="s">
        <v>12</v>
      </c>
    </row>
    <row r="3" spans="1:2" x14ac:dyDescent="0.7">
      <c r="A3">
        <v>6758</v>
      </c>
      <c r="B3" t="s">
        <v>11</v>
      </c>
    </row>
    <row r="4" spans="1:2" x14ac:dyDescent="0.7">
      <c r="A4">
        <v>6594</v>
      </c>
      <c r="B4" t="s">
        <v>10</v>
      </c>
    </row>
    <row r="5" spans="1:2" x14ac:dyDescent="0.7">
      <c r="A5">
        <v>6981</v>
      </c>
      <c r="B5" t="s">
        <v>9</v>
      </c>
    </row>
    <row r="6" spans="1:2" x14ac:dyDescent="0.7">
      <c r="A6">
        <v>8035</v>
      </c>
      <c r="B6" t="s">
        <v>8</v>
      </c>
    </row>
    <row r="7" spans="1:2" x14ac:dyDescent="0.7">
      <c r="A7">
        <v>6954</v>
      </c>
      <c r="B7" t="s">
        <v>7</v>
      </c>
    </row>
    <row r="8" spans="1:2" x14ac:dyDescent="0.7">
      <c r="A8">
        <v>6501</v>
      </c>
      <c r="B8" t="s">
        <v>6</v>
      </c>
    </row>
    <row r="9" spans="1:2" x14ac:dyDescent="0.7">
      <c r="A9">
        <v>6503</v>
      </c>
      <c r="B9" t="s">
        <v>5</v>
      </c>
    </row>
    <row r="10" spans="1:2" x14ac:dyDescent="0.7">
      <c r="A10">
        <v>6702</v>
      </c>
      <c r="B10" t="s">
        <v>4</v>
      </c>
    </row>
    <row r="11" spans="1:2" x14ac:dyDescent="0.7">
      <c r="A11">
        <v>7751</v>
      </c>
      <c r="B11" t="s">
        <v>3</v>
      </c>
    </row>
    <row r="12" spans="1:2" x14ac:dyDescent="0.7">
      <c r="A12">
        <v>6971</v>
      </c>
      <c r="B12" t="s">
        <v>2</v>
      </c>
    </row>
    <row r="13" spans="1:2" x14ac:dyDescent="0.7">
      <c r="A13">
        <v>6752</v>
      </c>
      <c r="B13" t="s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銘柄コード</vt:lpstr>
      <vt:lpstr>騰落率</vt:lpstr>
      <vt:lpstr>銘柄名</vt:lpstr>
      <vt:lpstr>騰落率</vt:lpstr>
      <vt:lpstr>銘柄名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yasumasa</dc:creator>
  <cp:lastModifiedBy>yasumasa</cp:lastModifiedBy>
  <dcterms:created xsi:type="dcterms:W3CDTF">2020-10-31T19:42:54Z</dcterms:created>
  <dcterms:modified xsi:type="dcterms:W3CDTF">2020-10-31T20:46:08Z</dcterms:modified>
</cp:coreProperties>
</file>